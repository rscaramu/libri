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<sst xmlns="http://schemas.openxmlformats.org/spreadsheetml/2006/main" count="22" uniqueCount="22">
  <si>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Capitolo 17 – Indici di sintesi sui 25 voti (Capitolo 4)</t>
  </si>
  <si>
    <t xml:space="preserve">voto</t>
  </si>
  <si>
    <t xml:space="preserve">indice</t>
  </si>
  <si>
    <t xml:space="preserve">formula (si vede il risultato)</t>
  </si>
  <si>
    <t xml:space="preserve">media</t>
  </si>
  <si>
    <t xml:space="preserve">mediana</t>
  </si>
  <si>
    <t xml:space="preserve">moda</t>
  </si>
  <si>
    <t xml:space="preserve">minimo</t>
  </si>
  <si>
    <t xml:space="preserve">massimo</t>
  </si>
  <si>
    <t xml:space="preserve">campo di variazione</t>
  </si>
  <si>
    <t xml:space="preserve">quanti dati (n)</t>
  </si>
  <si>
    <t xml:space="preserve">primo quartile</t>
  </si>
  <si>
    <t xml:space="preserve">terzo quartile</t>
  </si>
  <si>
    <t xml:space="preserve">scarto interquartile</t>
  </si>
  <si>
    <t xml:space="preserve">varianza (popolazione)</t>
  </si>
  <si>
    <t xml:space="preserve">dev. standard (popolazione)</t>
  </si>
  <si>
    <t xml:space="preserve">varianza campionaria corretta</t>
  </si>
  <si>
    <t xml:space="preserve">dev. standard campionaria</t>
  </si>
  <si>
    <t xml:space="preserve">quante insufficienze (&lt; 6)</t>
  </si>
  <si>
    <t xml:space="preserve">percentuale di insufficienze</t>
  </si>
  <si>
    <t xml:space="preserve">I dati sono in colonna A: cambiane uno e tutti gli indici si aggiornano da soli.</t>
  </si>
  <si>
    <t xml:space="preserve">Fonte dei dati: voti di fantasia usati nel Capitolo 4 del manuale.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</si>
</sst>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2" t="s">
        <v>2</v>
      </c>
      <c r="D3" s="2" t="s">
        <v>3</v>
      </c>
    </row>
    <row r="4" customFormat="false" ht="15" hidden="false" customHeight="false" outlineLevel="0" collapsed="false">
      <c r="A4" s="3" t="n">
        <v>5</v>
      </c>
      <c r="C4" s="3" t="s">
        <v>4</v>
      </c>
      <c r="D4" s="4" t="n">
        <f aca="false">AVERAGE(A4:A28)</f>
        <v>6.6</v>
      </c>
    </row>
    <row r="5" customFormat="false" ht="15" hidden="false" customHeight="false" outlineLevel="0" collapsed="false">
      <c r="A5" s="3" t="n">
        <v>7</v>
      </c>
      <c r="C5" s="3" t="s">
        <v>5</v>
      </c>
      <c r="D5" s="4" t="n">
        <f aca="false">MEDIAN(A4:A28)</f>
        <v>7</v>
      </c>
    </row>
    <row r="6" customFormat="false" ht="15" hidden="false" customHeight="false" outlineLevel="0" collapsed="false">
      <c r="A6" s="3" t="n">
        <v>6</v>
      </c>
      <c r="C6" s="3" t="s">
        <v>6</v>
      </c>
      <c r="D6" s="4" t="n">
        <f aca="false">_xlfn.MODE.SNGL(A4:A28)</f>
        <v>7</v>
      </c>
    </row>
    <row r="7" customFormat="false" ht="15" hidden="false" customHeight="false" outlineLevel="0" collapsed="false">
      <c r="A7" s="3" t="n">
        <v>8</v>
      </c>
      <c r="C7" s="3" t="s">
        <v>7</v>
      </c>
      <c r="D7" s="4" t="n">
        <f aca="false">MIN(A4:A28)</f>
        <v>4</v>
      </c>
    </row>
    <row r="8" customFormat="false" ht="15" hidden="false" customHeight="false" outlineLevel="0" collapsed="false">
      <c r="A8" s="3" t="n">
        <v>6</v>
      </c>
      <c r="C8" s="3" t="s">
        <v>8</v>
      </c>
      <c r="D8" s="4" t="n">
        <f aca="false">MAX(A4:A28)</f>
        <v>10</v>
      </c>
    </row>
    <row r="9" customFormat="false" ht="15" hidden="false" customHeight="false" outlineLevel="0" collapsed="false">
      <c r="A9" s="3" t="n">
        <v>4</v>
      </c>
      <c r="C9" s="3" t="s">
        <v>9</v>
      </c>
      <c r="D9" s="4" t="n">
        <f aca="false">MAX(A4:A28)-MIN(A4:A28)</f>
        <v>6</v>
      </c>
    </row>
    <row r="10" customFormat="false" ht="15" hidden="false" customHeight="false" outlineLevel="0" collapsed="false">
      <c r="A10" s="3" t="n">
        <v>7</v>
      </c>
      <c r="C10" s="3" t="s">
        <v>10</v>
      </c>
      <c r="D10" s="4" t="n">
        <f aca="false">COUNT(A4:A28)</f>
        <v>25</v>
      </c>
    </row>
    <row r="11" customFormat="false" ht="15" hidden="false" customHeight="false" outlineLevel="0" collapsed="false">
      <c r="A11" s="3" t="n">
        <v>7</v>
      </c>
      <c r="C11" s="3" t="s">
        <v>11</v>
      </c>
      <c r="D11" s="4" t="n">
        <f aca="false">_xlfn.QUARTILE.INC(A4:A28,1)</f>
        <v>6</v>
      </c>
    </row>
    <row r="12" customFormat="false" ht="15" hidden="false" customHeight="false" outlineLevel="0" collapsed="false">
      <c r="A12" s="3" t="n">
        <v>5</v>
      </c>
      <c r="C12" s="3" t="s">
        <v>12</v>
      </c>
      <c r="D12" s="4" t="n">
        <f aca="false">_xlfn.QUARTILE.INC(A4:A28,3)</f>
        <v>7</v>
      </c>
    </row>
    <row r="13" customFormat="false" ht="15" hidden="false" customHeight="false" outlineLevel="0" collapsed="false">
      <c r="A13" s="3" t="n">
        <v>9</v>
      </c>
      <c r="C13" s="3" t="s">
        <v>13</v>
      </c>
      <c r="D13" s="4" t="n">
        <f aca="false">_xlfn.QUARTILE.INC(A4:A28,3)-_xlfn.QUARTILE.INC(A4:A28,1)</f>
        <v>1</v>
      </c>
    </row>
    <row r="14" customFormat="false" ht="15" hidden="false" customHeight="false" outlineLevel="0" collapsed="false">
      <c r="A14" s="3" t="n">
        <v>6</v>
      </c>
      <c r="C14" s="3" t="s">
        <v>14</v>
      </c>
      <c r="D14" s="4" t="n">
        <f aca="false">_xlfn.VAR.P(A4:A28)</f>
        <v>2.24</v>
      </c>
    </row>
    <row r="15" customFormat="false" ht="15" hidden="false" customHeight="false" outlineLevel="0" collapsed="false">
      <c r="A15" s="3" t="n">
        <v>6</v>
      </c>
      <c r="C15" s="3" t="s">
        <v>15</v>
      </c>
      <c r="D15" s="4" t="n">
        <f aca="false">_xlfn.STDEV.P(A4:A28)</f>
        <v>1.49666295470958</v>
      </c>
    </row>
    <row r="16" customFormat="false" ht="15" hidden="false" customHeight="false" outlineLevel="0" collapsed="false">
      <c r="A16" s="3" t="n">
        <v>8</v>
      </c>
      <c r="C16" s="3" t="s">
        <v>16</v>
      </c>
      <c r="D16" s="4" t="n">
        <f aca="false">_xlfn.VAR.S(A4:A28)</f>
        <v>2.33333333333333</v>
      </c>
    </row>
    <row r="17" customFormat="false" ht="15" hidden="false" customHeight="false" outlineLevel="0" collapsed="false">
      <c r="A17" s="3" t="n">
        <v>7</v>
      </c>
      <c r="C17" s="3" t="s">
        <v>17</v>
      </c>
      <c r="D17" s="4" t="n">
        <f aca="false">_xlfn.STDEV.S(A4:A28)</f>
        <v>1.52752523165195</v>
      </c>
    </row>
    <row r="18" customFormat="false" ht="15" hidden="false" customHeight="false" outlineLevel="0" collapsed="false">
      <c r="A18" s="3" t="n">
        <v>5</v>
      </c>
      <c r="C18" s="3" t="s">
        <v>18</v>
      </c>
      <c r="D18" s="4" t="n">
        <f aca="false">COUNTIF(A4:A28,"&lt;6")</f>
        <v>6</v>
      </c>
    </row>
    <row r="19" customFormat="false" ht="15" hidden="false" customHeight="false" outlineLevel="0" collapsed="false">
      <c r="A19" s="3" t="n">
        <v>10</v>
      </c>
      <c r="C19" s="3" t="s">
        <v>19</v>
      </c>
      <c r="D19" s="5" t="n">
        <f aca="false">COUNTIF(A4:A28,"&lt;6")/COUNT(A4:A28)</f>
        <v>0.24</v>
      </c>
    </row>
    <row r="20" customFormat="false" ht="15" hidden="false" customHeight="false" outlineLevel="0" collapsed="false">
      <c r="A20" s="3" t="n">
        <v>6</v>
      </c>
    </row>
    <row r="21" customFormat="false" ht="15" hidden="false" customHeight="false" outlineLevel="0" collapsed="false">
      <c r="A21" s="3" t="n">
        <v>7</v>
      </c>
    </row>
    <row r="22" customFormat="false" ht="15" hidden="false" customHeight="false" outlineLevel="0" collapsed="false">
      <c r="A22" s="3" t="n">
        <v>4</v>
      </c>
      <c r="C22" s="6" t="s">
        <v>20</v>
      </c>
    </row>
    <row r="23" customFormat="false" ht="15" hidden="false" customHeight="false" outlineLevel="0" collapsed="false">
      <c r="A23" s="3" t="n">
        <v>8</v>
      </c>
      <c r="C23" s="6" t="s">
        <v>21</v>
      </c>
    </row>
    <row r="24" customFormat="false" ht="15" hidden="false" customHeight="false" outlineLevel="0" collapsed="false">
      <c r="A24" s="3" t="n">
        <v>7</v>
      </c>
    </row>
    <row r="25" customFormat="false" ht="15" hidden="false" customHeight="false" outlineLevel="0" collapsed="false">
      <c r="A25" s="3" t="n">
        <v>6</v>
      </c>
    </row>
    <row r="26" customFormat="false" ht="15" hidden="false" customHeight="false" outlineLevel="0" collapsed="false">
      <c r="A26" s="3" t="n">
        <v>9</v>
      </c>
    </row>
    <row r="27" customFormat="false" ht="15" hidden="false" customHeight="false" outlineLevel="0" collapsed="false">
      <c r="A27" s="3" t="n">
        <v>5</v>
      </c>
    </row>
    <row r="28" customFormat="false" ht="15" hidden="false" customHeight="false" outlineLevel="0" collapsed="false">
      <c r="A28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