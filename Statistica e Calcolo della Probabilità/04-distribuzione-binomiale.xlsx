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nomi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<sst xmlns="http://schemas.openxmlformats.org/spreadsheetml/2006/main" count="12" uniqueCount="12">
  <si>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Capitolo 17 – Distribuzione binomiale</t>
  </si>
  <si>
    <t xml:space="preserve">Modifica solo le celle gialle</t>
  </si>
  <si>
    <t xml:space="preserve">n (numero di prove) =</t>
  </si>
  <si>
    <t xml:space="preserve">p (probabilità di successo) =</t>
  </si>
  <si>
    <t xml:space="preserve">valore atteso  n·p</t>
  </si>
  <si>
    <t xml:space="preserve">deviazione standard</t>
  </si>
  <si>
    <t xml:space="preserve">k</t>
  </si>
  <si>
    <t xml:space="preserve">P(X = k)</t>
  </si>
  <si>
    <t xml:space="preserve">P(X ≤ k)</t>
  </si>
  <si>
    <t xml:space="preserve">somma</t>
  </si>
  <si>
    <t xml:space="preserve">La somma della colonna B deve valere 1,0000: è il controllo che la distribuzione sia completa.</t>
  </si>
  <si>
    <t xml:space="preserve">La tabella arriva fino a k = 30; con n maggiore di 30 vanno aggiunte righe.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</si>
</sst>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10</v>
      </c>
    </row>
    <row r="5" customFormat="false" ht="15" hidden="false" customHeight="false" outlineLevel="0" collapsed="false">
      <c r="A5" s="3" t="s">
        <v>3</v>
      </c>
      <c r="B5" s="4" t="n">
        <v>0.5</v>
      </c>
    </row>
    <row r="6" customFormat="false" ht="15" hidden="false" customHeight="false" outlineLevel="0" collapsed="false">
      <c r="A6" s="3" t="s">
        <v>4</v>
      </c>
      <c r="B6" s="3" t="n">
        <f aca="false">B4*B5</f>
        <v>5</v>
      </c>
    </row>
    <row r="7" customFormat="false" ht="15" hidden="false" customHeight="false" outlineLevel="0" collapsed="false">
      <c r="A7" s="3" t="s">
        <v>5</v>
      </c>
      <c r="B7" s="3" t="n">
        <f aca="false">SQRT(B4*B5*(1-B5))</f>
        <v>1.58113883008419</v>
      </c>
    </row>
    <row r="9" customFormat="false" ht="15" hidden="false" customHeight="false" outlineLevel="0" collapsed="false">
      <c r="A9" s="5" t="s">
        <v>6</v>
      </c>
      <c r="B9" s="5" t="s">
        <v>7</v>
      </c>
      <c r="C9" s="5" t="s">
        <v>8</v>
      </c>
    </row>
    <row r="10" customFormat="false" ht="15" hidden="false" customHeight="false" outlineLevel="0" collapsed="false">
      <c r="A10" s="6" t="n">
        <v>0</v>
      </c>
      <c r="B10" s="7" t="n">
        <f aca="false">IF(A10&gt;$B$4,"",_xlfn.BINOM.DIST(A10,$B$4,$B$5,FALSE()))</f>
        <v>0.0009765625</v>
      </c>
      <c r="C10" s="7" t="n">
        <f aca="false">IF(A10&gt;$B$4,"",_xlfn.BINOM.DIST(A10,$B$4,$B$5,TRUE()))</f>
        <v>0.0009765625</v>
      </c>
    </row>
    <row r="11" customFormat="false" ht="15" hidden="false" customHeight="false" outlineLevel="0" collapsed="false">
      <c r="A11" s="6" t="n">
        <v>1</v>
      </c>
      <c r="B11" s="7" t="n">
        <f aca="false">IF(A11&gt;$B$4,"",_xlfn.BINOM.DIST(A11,$B$4,$B$5,FALSE()))</f>
        <v>0.009765625</v>
      </c>
      <c r="C11" s="7" t="n">
        <f aca="false">IF(A11&gt;$B$4,"",_xlfn.BINOM.DIST(A11,$B$4,$B$5,TRUE()))</f>
        <v>0.0107421875</v>
      </c>
    </row>
    <row r="12" customFormat="false" ht="15" hidden="false" customHeight="false" outlineLevel="0" collapsed="false">
      <c r="A12" s="6" t="n">
        <v>2</v>
      </c>
      <c r="B12" s="7" t="n">
        <f aca="false">IF(A12&gt;$B$4,"",_xlfn.BINOM.DIST(A12,$B$4,$B$5,FALSE()))</f>
        <v>0.0439453125</v>
      </c>
      <c r="C12" s="7" t="n">
        <f aca="false">IF(A12&gt;$B$4,"",_xlfn.BINOM.DIST(A12,$B$4,$B$5,TRUE()))</f>
        <v>0.0546875</v>
      </c>
    </row>
    <row r="13" customFormat="false" ht="15" hidden="false" customHeight="false" outlineLevel="0" collapsed="false">
      <c r="A13" s="6" t="n">
        <v>3</v>
      </c>
      <c r="B13" s="7" t="n">
        <f aca="false">IF(A13&gt;$B$4,"",_xlfn.BINOM.DIST(A13,$B$4,$B$5,FALSE()))</f>
        <v>0.1171875</v>
      </c>
      <c r="C13" s="7" t="n">
        <f aca="false">IF(A13&gt;$B$4,"",_xlfn.BINOM.DIST(A13,$B$4,$B$5,TRUE()))</f>
        <v>0.171875</v>
      </c>
    </row>
    <row r="14" customFormat="false" ht="15" hidden="false" customHeight="false" outlineLevel="0" collapsed="false">
      <c r="A14" s="6" t="n">
        <v>4</v>
      </c>
      <c r="B14" s="7" t="n">
        <f aca="false">IF(A14&gt;$B$4,"",_xlfn.BINOM.DIST(A14,$B$4,$B$5,FALSE()))</f>
        <v>0.205078125</v>
      </c>
      <c r="C14" s="7" t="n">
        <f aca="false">IF(A14&gt;$B$4,"",_xlfn.BINOM.DIST(A14,$B$4,$B$5,TRUE()))</f>
        <v>0.376953125</v>
      </c>
    </row>
    <row r="15" customFormat="false" ht="15" hidden="false" customHeight="false" outlineLevel="0" collapsed="false">
      <c r="A15" s="6" t="n">
        <v>5</v>
      </c>
      <c r="B15" s="7" t="n">
        <f aca="false">IF(A15&gt;$B$4,"",_xlfn.BINOM.DIST(A15,$B$4,$B$5,FALSE()))</f>
        <v>0.24609375</v>
      </c>
      <c r="C15" s="7" t="n">
        <f aca="false">IF(A15&gt;$B$4,"",_xlfn.BINOM.DIST(A15,$B$4,$B$5,TRUE()))</f>
        <v>0.623046875</v>
      </c>
    </row>
    <row r="16" customFormat="false" ht="15" hidden="false" customHeight="false" outlineLevel="0" collapsed="false">
      <c r="A16" s="6" t="n">
        <v>6</v>
      </c>
      <c r="B16" s="7" t="n">
        <f aca="false">IF(A16&gt;$B$4,"",_xlfn.BINOM.DIST(A16,$B$4,$B$5,FALSE()))</f>
        <v>0.205078125</v>
      </c>
      <c r="C16" s="7" t="n">
        <f aca="false">IF(A16&gt;$B$4,"",_xlfn.BINOM.DIST(A16,$B$4,$B$5,TRUE()))</f>
        <v>0.828125</v>
      </c>
    </row>
    <row r="17" customFormat="false" ht="15" hidden="false" customHeight="false" outlineLevel="0" collapsed="false">
      <c r="A17" s="6" t="n">
        <v>7</v>
      </c>
      <c r="B17" s="7" t="n">
        <f aca="false">IF(A17&gt;$B$4,"",_xlfn.BINOM.DIST(A17,$B$4,$B$5,FALSE()))</f>
        <v>0.1171875</v>
      </c>
      <c r="C17" s="7" t="n">
        <f aca="false">IF(A17&gt;$B$4,"",_xlfn.BINOM.DIST(A17,$B$4,$B$5,TRUE()))</f>
        <v>0.9453125</v>
      </c>
    </row>
    <row r="18" customFormat="false" ht="15" hidden="false" customHeight="false" outlineLevel="0" collapsed="false">
      <c r="A18" s="6" t="n">
        <v>8</v>
      </c>
      <c r="B18" s="7" t="n">
        <f aca="false">IF(A18&gt;$B$4,"",_xlfn.BINOM.DIST(A18,$B$4,$B$5,FALSE()))</f>
        <v>0.0439453125</v>
      </c>
      <c r="C18" s="7" t="n">
        <f aca="false">IF(A18&gt;$B$4,"",_xlfn.BINOM.DIST(A18,$B$4,$B$5,TRUE()))</f>
        <v>0.9892578125</v>
      </c>
    </row>
    <row r="19" customFormat="false" ht="15" hidden="false" customHeight="false" outlineLevel="0" collapsed="false">
      <c r="A19" s="6" t="n">
        <v>9</v>
      </c>
      <c r="B19" s="7" t="n">
        <f aca="false">IF(A19&gt;$B$4,"",_xlfn.BINOM.DIST(A19,$B$4,$B$5,FALSE()))</f>
        <v>0.009765625</v>
      </c>
      <c r="C19" s="7" t="n">
        <f aca="false">IF(A19&gt;$B$4,"",_xlfn.BINOM.DIST(A19,$B$4,$B$5,TRUE()))</f>
        <v>0.9990234375</v>
      </c>
    </row>
    <row r="20" customFormat="false" ht="15" hidden="false" customHeight="false" outlineLevel="0" collapsed="false">
      <c r="A20" s="6" t="n">
        <v>10</v>
      </c>
      <c r="B20" s="7" t="n">
        <f aca="false">IF(A20&gt;$B$4,"",_xlfn.BINOM.DIST(A20,$B$4,$B$5,FALSE()))</f>
        <v>0.0009765625</v>
      </c>
      <c r="C20" s="7" t="n">
        <f aca="false">IF(A20&gt;$B$4,"",_xlfn.BINOM.DIST(A20,$B$4,$B$5,TRUE()))</f>
        <v>1</v>
      </c>
    </row>
    <row r="21" customFormat="false" ht="15" hidden="false" customHeight="false" outlineLevel="0" collapsed="false">
      <c r="A21" s="6" t="n">
        <v>11</v>
      </c>
      <c r="B21" s="7" t="str">
        <f aca="false">IF(A21&gt;$B$4,"",_xlfn.BINOM.DIST(A21,$B$4,$B$5,FALSE()))</f>
        <v/>
      </c>
      <c r="C21" s="7" t="str">
        <f aca="false">IF(A21&gt;$B$4,"",_xlfn.BINOM.DIST(A21,$B$4,$B$5,TRUE()))</f>
        <v/>
      </c>
    </row>
    <row r="22" customFormat="false" ht="15" hidden="false" customHeight="false" outlineLevel="0" collapsed="false">
      <c r="A22" s="6" t="n">
        <v>12</v>
      </c>
      <c r="B22" s="7" t="str">
        <f aca="false">IF(A22&gt;$B$4,"",_xlfn.BINOM.DIST(A22,$B$4,$B$5,FALSE()))</f>
        <v/>
      </c>
      <c r="C22" s="7" t="str">
        <f aca="false">IF(A22&gt;$B$4,"",_xlfn.BINOM.DIST(A22,$B$4,$B$5,TRUE()))</f>
        <v/>
      </c>
    </row>
    <row r="23" customFormat="false" ht="15" hidden="false" customHeight="false" outlineLevel="0" collapsed="false">
      <c r="A23" s="6" t="n">
        <v>13</v>
      </c>
      <c r="B23" s="7" t="str">
        <f aca="false">IF(A23&gt;$B$4,"",_xlfn.BINOM.DIST(A23,$B$4,$B$5,FALSE()))</f>
        <v/>
      </c>
      <c r="C23" s="7" t="str">
        <f aca="false">IF(A23&gt;$B$4,"",_xlfn.BINOM.DIST(A23,$B$4,$B$5,TRUE()))</f>
        <v/>
      </c>
    </row>
    <row r="24" customFormat="false" ht="15" hidden="false" customHeight="false" outlineLevel="0" collapsed="false">
      <c r="A24" s="6" t="n">
        <v>14</v>
      </c>
      <c r="B24" s="7" t="str">
        <f aca="false">IF(A24&gt;$B$4,"",_xlfn.BINOM.DIST(A24,$B$4,$B$5,FALSE()))</f>
        <v/>
      </c>
      <c r="C24" s="7" t="str">
        <f aca="false">IF(A24&gt;$B$4,"",_xlfn.BINOM.DIST(A24,$B$4,$B$5,TRUE()))</f>
        <v/>
      </c>
    </row>
    <row r="25" customFormat="false" ht="15" hidden="false" customHeight="false" outlineLevel="0" collapsed="false">
      <c r="A25" s="6" t="n">
        <v>15</v>
      </c>
      <c r="B25" s="7" t="str">
        <f aca="false">IF(A25&gt;$B$4,"",_xlfn.BINOM.DIST(A25,$B$4,$B$5,FALSE()))</f>
        <v/>
      </c>
      <c r="C25" s="7" t="str">
        <f aca="false">IF(A25&gt;$B$4,"",_xlfn.BINOM.DIST(A25,$B$4,$B$5,TRUE()))</f>
        <v/>
      </c>
    </row>
    <row r="26" customFormat="false" ht="15" hidden="false" customHeight="false" outlineLevel="0" collapsed="false">
      <c r="A26" s="6" t="n">
        <v>16</v>
      </c>
      <c r="B26" s="7" t="str">
        <f aca="false">IF(A26&gt;$B$4,"",_xlfn.BINOM.DIST(A26,$B$4,$B$5,FALSE()))</f>
        <v/>
      </c>
      <c r="C26" s="7" t="str">
        <f aca="false">IF(A26&gt;$B$4,"",_xlfn.BINOM.DIST(A26,$B$4,$B$5,TRUE()))</f>
        <v/>
      </c>
    </row>
    <row r="27" customFormat="false" ht="15" hidden="false" customHeight="false" outlineLevel="0" collapsed="false">
      <c r="A27" s="6" t="n">
        <v>17</v>
      </c>
      <c r="B27" s="7" t="str">
        <f aca="false">IF(A27&gt;$B$4,"",_xlfn.BINOM.DIST(A27,$B$4,$B$5,FALSE()))</f>
        <v/>
      </c>
      <c r="C27" s="7" t="str">
        <f aca="false">IF(A27&gt;$B$4,"",_xlfn.BINOM.DIST(A27,$B$4,$B$5,TRUE()))</f>
        <v/>
      </c>
    </row>
    <row r="28" customFormat="false" ht="15" hidden="false" customHeight="false" outlineLevel="0" collapsed="false">
      <c r="A28" s="6" t="n">
        <v>18</v>
      </c>
      <c r="B28" s="7" t="str">
        <f aca="false">IF(A28&gt;$B$4,"",_xlfn.BINOM.DIST(A28,$B$4,$B$5,FALSE()))</f>
        <v/>
      </c>
      <c r="C28" s="7" t="str">
        <f aca="false">IF(A28&gt;$B$4,"",_xlfn.BINOM.DIST(A28,$B$4,$B$5,TRUE()))</f>
        <v/>
      </c>
    </row>
    <row r="29" customFormat="false" ht="15" hidden="false" customHeight="false" outlineLevel="0" collapsed="false">
      <c r="A29" s="6" t="n">
        <v>19</v>
      </c>
      <c r="B29" s="7" t="str">
        <f aca="false">IF(A29&gt;$B$4,"",_xlfn.BINOM.DIST(A29,$B$4,$B$5,FALSE()))</f>
        <v/>
      </c>
      <c r="C29" s="7" t="str">
        <f aca="false">IF(A29&gt;$B$4,"",_xlfn.BINOM.DIST(A29,$B$4,$B$5,TRUE()))</f>
        <v/>
      </c>
    </row>
    <row r="30" customFormat="false" ht="15" hidden="false" customHeight="false" outlineLevel="0" collapsed="false">
      <c r="A30" s="6" t="n">
        <v>20</v>
      </c>
      <c r="B30" s="7" t="str">
        <f aca="false">IF(A30&gt;$B$4,"",_xlfn.BINOM.DIST(A30,$B$4,$B$5,FALSE()))</f>
        <v/>
      </c>
      <c r="C30" s="7" t="str">
        <f aca="false">IF(A30&gt;$B$4,"",_xlfn.BINOM.DIST(A30,$B$4,$B$5,TRUE()))</f>
        <v/>
      </c>
    </row>
    <row r="31" customFormat="false" ht="15" hidden="false" customHeight="false" outlineLevel="0" collapsed="false">
      <c r="A31" s="6" t="n">
        <v>21</v>
      </c>
      <c r="B31" s="7" t="str">
        <f aca="false">IF(A31&gt;$B$4,"",_xlfn.BINOM.DIST(A31,$B$4,$B$5,FALSE()))</f>
        <v/>
      </c>
      <c r="C31" s="7" t="str">
        <f aca="false">IF(A31&gt;$B$4,"",_xlfn.BINOM.DIST(A31,$B$4,$B$5,TRUE()))</f>
        <v/>
      </c>
    </row>
    <row r="32" customFormat="false" ht="15" hidden="false" customHeight="false" outlineLevel="0" collapsed="false">
      <c r="A32" s="6" t="n">
        <v>22</v>
      </c>
      <c r="B32" s="7" t="str">
        <f aca="false">IF(A32&gt;$B$4,"",_xlfn.BINOM.DIST(A32,$B$4,$B$5,FALSE()))</f>
        <v/>
      </c>
      <c r="C32" s="7" t="str">
        <f aca="false">IF(A32&gt;$B$4,"",_xlfn.BINOM.DIST(A32,$B$4,$B$5,TRUE()))</f>
        <v/>
      </c>
    </row>
    <row r="33" customFormat="false" ht="15" hidden="false" customHeight="false" outlineLevel="0" collapsed="false">
      <c r="A33" s="6" t="n">
        <v>23</v>
      </c>
      <c r="B33" s="7" t="str">
        <f aca="false">IF(A33&gt;$B$4,"",_xlfn.BINOM.DIST(A33,$B$4,$B$5,FALSE()))</f>
        <v/>
      </c>
      <c r="C33" s="7" t="str">
        <f aca="false">IF(A33&gt;$B$4,"",_xlfn.BINOM.DIST(A33,$B$4,$B$5,TRUE()))</f>
        <v/>
      </c>
    </row>
    <row r="34" customFormat="false" ht="15" hidden="false" customHeight="false" outlineLevel="0" collapsed="false">
      <c r="A34" s="6" t="n">
        <v>24</v>
      </c>
      <c r="B34" s="7" t="str">
        <f aca="false">IF(A34&gt;$B$4,"",_xlfn.BINOM.DIST(A34,$B$4,$B$5,FALSE()))</f>
        <v/>
      </c>
      <c r="C34" s="7" t="str">
        <f aca="false">IF(A34&gt;$B$4,"",_xlfn.BINOM.DIST(A34,$B$4,$B$5,TRUE()))</f>
        <v/>
      </c>
    </row>
    <row r="35" customFormat="false" ht="15" hidden="false" customHeight="false" outlineLevel="0" collapsed="false">
      <c r="A35" s="6" t="n">
        <v>25</v>
      </c>
      <c r="B35" s="7" t="str">
        <f aca="false">IF(A35&gt;$B$4,"",_xlfn.BINOM.DIST(A35,$B$4,$B$5,FALSE()))</f>
        <v/>
      </c>
      <c r="C35" s="7" t="str">
        <f aca="false">IF(A35&gt;$B$4,"",_xlfn.BINOM.DIST(A35,$B$4,$B$5,TRUE()))</f>
        <v/>
      </c>
    </row>
    <row r="36" customFormat="false" ht="15" hidden="false" customHeight="false" outlineLevel="0" collapsed="false">
      <c r="A36" s="6" t="n">
        <v>26</v>
      </c>
      <c r="B36" s="7" t="str">
        <f aca="false">IF(A36&gt;$B$4,"",_xlfn.BINOM.DIST(A36,$B$4,$B$5,FALSE()))</f>
        <v/>
      </c>
      <c r="C36" s="7" t="str">
        <f aca="false">IF(A36&gt;$B$4,"",_xlfn.BINOM.DIST(A36,$B$4,$B$5,TRUE()))</f>
        <v/>
      </c>
    </row>
    <row r="37" customFormat="false" ht="15" hidden="false" customHeight="false" outlineLevel="0" collapsed="false">
      <c r="A37" s="6" t="n">
        <v>27</v>
      </c>
      <c r="B37" s="7" t="str">
        <f aca="false">IF(A37&gt;$B$4,"",_xlfn.BINOM.DIST(A37,$B$4,$B$5,FALSE()))</f>
        <v/>
      </c>
      <c r="C37" s="7" t="str">
        <f aca="false">IF(A37&gt;$B$4,"",_xlfn.BINOM.DIST(A37,$B$4,$B$5,TRUE()))</f>
        <v/>
      </c>
    </row>
    <row r="38" customFormat="false" ht="15" hidden="false" customHeight="false" outlineLevel="0" collapsed="false">
      <c r="A38" s="6" t="n">
        <v>28</v>
      </c>
      <c r="B38" s="7" t="str">
        <f aca="false">IF(A38&gt;$B$4,"",_xlfn.BINOM.DIST(A38,$B$4,$B$5,FALSE()))</f>
        <v/>
      </c>
      <c r="C38" s="7" t="str">
        <f aca="false">IF(A38&gt;$B$4,"",_xlfn.BINOM.DIST(A38,$B$4,$B$5,TRUE()))</f>
        <v/>
      </c>
    </row>
    <row r="39" customFormat="false" ht="15" hidden="false" customHeight="false" outlineLevel="0" collapsed="false">
      <c r="A39" s="6" t="n">
        <v>29</v>
      </c>
      <c r="B39" s="7" t="str">
        <f aca="false">IF(A39&gt;$B$4,"",_xlfn.BINOM.DIST(A39,$B$4,$B$5,FALSE()))</f>
        <v/>
      </c>
      <c r="C39" s="7" t="str">
        <f aca="false">IF(A39&gt;$B$4,"",_xlfn.BINOM.DIST(A39,$B$4,$B$5,TRUE()))</f>
        <v/>
      </c>
    </row>
    <row r="40" customFormat="false" ht="15" hidden="false" customHeight="false" outlineLevel="0" collapsed="false">
      <c r="A40" s="6" t="n">
        <v>30</v>
      </c>
      <c r="B40" s="7" t="str">
        <f aca="false">IF(A40&gt;$B$4,"",_xlfn.BINOM.DIST(A40,$B$4,$B$5,FALSE()))</f>
        <v/>
      </c>
      <c r="C40" s="7" t="str">
        <f aca="false">IF(A40&gt;$B$4,"",_xlfn.BINOM.DIST(A40,$B$4,$B$5,TRUE()))</f>
        <v/>
      </c>
    </row>
    <row r="41" customFormat="false" ht="15" hidden="false" customHeight="false" outlineLevel="0" collapsed="false">
      <c r="A41" s="3" t="s">
        <v>9</v>
      </c>
      <c r="B41" s="8" t="n">
        <f aca="false">SUM(B10:B40)</f>
        <v>1</v>
      </c>
    </row>
    <row r="43" customFormat="false" ht="15" hidden="false" customHeight="false" outlineLevel="0" collapsed="false">
      <c r="A43" s="2" t="s">
        <v>10</v>
      </c>
    </row>
    <row r="44" customFormat="false" ht="15" hidden="false" customHeight="false" outlineLevel="0" collapsed="false">
      <c r="A4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