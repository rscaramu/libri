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<sst xmlns="http://schemas.openxmlformats.org/spreadsheetml/2006/main" count="18" uniqueCount="18">
  <si>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Capitolo 17 – Distribuzione normale (sostituisce la tavola)</t>
  </si>
  <si>
    <t xml:space="preserve">Modifica solo le celle gialle</t>
  </si>
  <si>
    <t xml:space="preserve">media μ =</t>
  </si>
  <si>
    <t xml:space="preserve">deviazione standard σ =</t>
  </si>
  <si>
    <t xml:space="preserve">valore x =</t>
  </si>
  <si>
    <t xml:space="preserve">secondo valore x₂ (per l’intervallo) =</t>
  </si>
  <si>
    <t xml:space="preserve">area cercata (per la domanda inversa) =</t>
  </si>
  <si>
    <t xml:space="preserve">domanda</t>
  </si>
  <si>
    <t xml:space="preserve">risultato</t>
  </si>
  <si>
    <t xml:space="preserve">punteggio standardizzato z di x</t>
  </si>
  <si>
    <t xml:space="preserve">P(X ≤ x)  area a sinistra</t>
  </si>
  <si>
    <t xml:space="preserve">P(X &gt; x)  area a destra</t>
  </si>
  <si>
    <t xml:space="preserve">P(x ≤ X ≤ x₂)  area fra i due valori</t>
  </si>
  <si>
    <t xml:space="preserve">valore x che lascia a sinistra l’area indicata</t>
  </si>
  <si>
    <t xml:space="preserve">Φ(z) della normale standard, con z in riga 11</t>
  </si>
  <si>
    <t xml:space="preserve">z che lascia a sinistra l’area indicata</t>
  </si>
  <si>
    <t xml:space="preserve">Verifica: con μ = 0 e σ = 1 e x = 2 la seconda riga deve dare 0,9772, il valore</t>
  </si>
  <si>
    <t xml:space="preserve">che si legge nella tavola dell’Appendice B alla riga 2,0 e colonna 0,00.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</si>
</sst>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B3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500</v>
      </c>
    </row>
    <row r="5" customFormat="false" ht="15" hidden="false" customHeight="false" outlineLevel="0" collapsed="false">
      <c r="A5" s="3" t="s">
        <v>3</v>
      </c>
      <c r="B5" s="4" t="n">
        <v>100</v>
      </c>
    </row>
    <row r="6" customFormat="false" ht="15" hidden="false" customHeight="false" outlineLevel="0" collapsed="false">
      <c r="A6" s="3" t="s">
        <v>4</v>
      </c>
      <c r="B6" s="4" t="n">
        <v>650</v>
      </c>
    </row>
    <row r="7" customFormat="false" ht="15" hidden="false" customHeight="false" outlineLevel="0" collapsed="false">
      <c r="A7" s="3" t="s">
        <v>5</v>
      </c>
      <c r="B7" s="4" t="n">
        <v>700</v>
      </c>
    </row>
    <row r="8" customFormat="false" ht="15" hidden="false" customHeight="false" outlineLevel="0" collapsed="false">
      <c r="A8" s="3" t="s">
        <v>6</v>
      </c>
      <c r="B8" s="4" t="n">
        <v>0.95</v>
      </c>
    </row>
    <row r="10" customFormat="false" ht="15" hidden="false" customHeight="false" outlineLevel="0" collapsed="false">
      <c r="A10" s="5" t="s">
        <v>7</v>
      </c>
      <c r="B10" s="5" t="s">
        <v>8</v>
      </c>
    </row>
    <row r="11" customFormat="false" ht="15" hidden="false" customHeight="false" outlineLevel="0" collapsed="false">
      <c r="A11" s="6" t="s">
        <v>9</v>
      </c>
      <c r="B11" s="7" t="n">
        <f aca="false">STANDARDIZE(B6,B4,B5)</f>
        <v>1.5</v>
      </c>
    </row>
    <row r="12" customFormat="false" ht="15" hidden="false" customHeight="false" outlineLevel="0" collapsed="false">
      <c r="A12" s="6" t="s">
        <v>10</v>
      </c>
      <c r="B12" s="7" t="n">
        <f aca="false">_xlfn.NORM.DIST(B6,B4,B5,TRUE())</f>
        <v>0.933192798731142</v>
      </c>
    </row>
    <row r="13" customFormat="false" ht="15" hidden="false" customHeight="false" outlineLevel="0" collapsed="false">
      <c r="A13" s="6" t="s">
        <v>11</v>
      </c>
      <c r="B13" s="7" t="n">
        <f aca="false">1-_xlfn.NORM.DIST(B6,B4,B5,TRUE())</f>
        <v>0.0668072012688581</v>
      </c>
    </row>
    <row r="14" customFormat="false" ht="15" hidden="false" customHeight="false" outlineLevel="0" collapsed="false">
      <c r="A14" s="6" t="s">
        <v>12</v>
      </c>
      <c r="B14" s="7" t="n">
        <f aca="false">_xlfn.NORM.DIST(B7,B4,B5,TRUE())-_xlfn.NORM.DIST(B6,B4,B5,TRUE())</f>
        <v>0.0440570693206789</v>
      </c>
    </row>
    <row r="15" customFormat="false" ht="15" hidden="false" customHeight="false" outlineLevel="0" collapsed="false">
      <c r="A15" s="6" t="s">
        <v>13</v>
      </c>
      <c r="B15" s="7" t="n">
        <f aca="false">_xlfn.NORM.INV(B8,B4,B5)</f>
        <v>664.485362695147</v>
      </c>
    </row>
    <row r="16" customFormat="false" ht="15" hidden="false" customHeight="false" outlineLevel="0" collapsed="false">
      <c r="A16" s="6" t="s">
        <v>14</v>
      </c>
      <c r="B16" s="7" t="n">
        <f aca="false">_xlfn.NORM.S.DIST(B11,TRUE())</f>
        <v>0.933192798731142</v>
      </c>
    </row>
    <row r="17" customFormat="false" ht="15" hidden="false" customHeight="false" outlineLevel="0" collapsed="false">
      <c r="A17" s="6" t="s">
        <v>15</v>
      </c>
      <c r="B17" s="7" t="n">
        <f aca="false">_xlfn.NORM.S.INV(B8)</f>
        <v>1.64485362695147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2026-08-06T14:17:37Z</dcterms:created>
  <dc:creator>openpyxl</dc:creator>
  <dc:description/>
  <dc:language>en-US</dc:language>
  <cp:lastModifiedBy/>
  <dcterms:modified xsi:type="dcterms:W3CDTF">2026-08-06T14:17:37Z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