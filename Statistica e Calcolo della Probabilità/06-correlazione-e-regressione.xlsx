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ression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<sst xmlns="http://schemas.openxmlformats.org/spreadsheetml/2006/main" count="17" uniqueCount="17">
  <si>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Capitolo 17 – Correlazione e regressione lineare</t>
  </si>
  <si>
    <t xml:space="preserve">x (ore di allenamento)</t>
  </si>
  <si>
    <t xml:space="preserve">y (punti segnati)</t>
  </si>
  <si>
    <t xml:space="preserve">grandezza</t>
  </si>
  <si>
    <t xml:space="preserve">risultato</t>
  </si>
  <si>
    <t xml:space="preserve">media di x</t>
  </si>
  <si>
    <t xml:space="preserve">media di y</t>
  </si>
  <si>
    <t xml:space="preserve">covarianza (popolazione)</t>
  </si>
  <si>
    <t xml:space="preserve">coefficiente di correlazione r</t>
  </si>
  <si>
    <t xml:space="preserve">pendenza b   (attenzione: prima la y)</t>
  </si>
  <si>
    <t xml:space="preserve">intercetta a  (attenzione: prima la y)</t>
  </si>
  <si>
    <t xml:space="preserve">coefficiente di determinazione R²</t>
  </si>
  <si>
    <t xml:space="preserve">valore di x per la previsione</t>
  </si>
  <si>
    <t xml:space="preserve">previsione di y</t>
  </si>
  <si>
    <t xml:space="preserve">In PENDENZA, INTERCETTA e RQ la y va scritta per prima: invertendo si ottiene</t>
  </si>
  <si>
    <t xml:space="preserve">un numero diverso e sbagliato (0,88 invece di 1,1 con questi dati).</t>
  </si>
  <si>
    <t xml:space="preserve">La previsione vale solo dentro l’intervallo dei dati osservati, qui da 2 a 10.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</si>
</sst>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3"/>
    <col collapsed="false" customWidth="true" hidden="false" outlineLevel="0" max="4" min="4" style="0" width="36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D3" s="2" t="s">
        <v>3</v>
      </c>
      <c r="E3" s="2" t="s">
        <v>4</v>
      </c>
    </row>
    <row r="4" customFormat="false" ht="15" hidden="false" customHeight="false" outlineLevel="0" collapsed="false">
      <c r="A4" s="3" t="n">
        <v>2</v>
      </c>
      <c r="B4" s="3" t="n">
        <v>5</v>
      </c>
      <c r="D4" s="4" t="s">
        <v>5</v>
      </c>
      <c r="E4" s="5" t="n">
        <f aca="false">AVERAGE(A4:A8)</f>
        <v>6</v>
      </c>
    </row>
    <row r="5" customFormat="false" ht="15" hidden="false" customHeight="false" outlineLevel="0" collapsed="false">
      <c r="A5" s="3" t="n">
        <v>4</v>
      </c>
      <c r="B5" s="3" t="n">
        <v>7</v>
      </c>
      <c r="D5" s="4" t="s">
        <v>6</v>
      </c>
      <c r="E5" s="5" t="n">
        <f aca="false">AVERAGE(B4:B8)</f>
        <v>9</v>
      </c>
    </row>
    <row r="6" customFormat="false" ht="15" hidden="false" customHeight="false" outlineLevel="0" collapsed="false">
      <c r="A6" s="3" t="n">
        <v>6</v>
      </c>
      <c r="B6" s="3" t="n">
        <v>8</v>
      </c>
      <c r="D6" s="4" t="s">
        <v>7</v>
      </c>
      <c r="E6" s="5" t="n">
        <f aca="false">_xlfn.COVARIANCE.P(A4:A8,B4:B8)</f>
        <v>8.8</v>
      </c>
    </row>
    <row r="7" customFormat="false" ht="15" hidden="false" customHeight="false" outlineLevel="0" collapsed="false">
      <c r="A7" s="3" t="n">
        <v>8</v>
      </c>
      <c r="B7" s="3" t="n">
        <v>11</v>
      </c>
      <c r="D7" s="4" t="s">
        <v>8</v>
      </c>
      <c r="E7" s="5" t="n">
        <f aca="false">CORREL(A4:A8,B4:B8)</f>
        <v>0.983869910099907</v>
      </c>
    </row>
    <row r="8" customFormat="false" ht="15" hidden="false" customHeight="false" outlineLevel="0" collapsed="false">
      <c r="A8" s="3" t="n">
        <v>10</v>
      </c>
      <c r="B8" s="3" t="n">
        <v>14</v>
      </c>
      <c r="D8" s="4" t="s">
        <v>9</v>
      </c>
      <c r="E8" s="5" t="n">
        <f aca="false">SLOPE(B4:B8,A4:A8)</f>
        <v>1.1</v>
      </c>
    </row>
    <row r="9" customFormat="false" ht="15" hidden="false" customHeight="false" outlineLevel="0" collapsed="false">
      <c r="D9" s="4" t="s">
        <v>10</v>
      </c>
      <c r="E9" s="5" t="n">
        <f aca="false">INTERCEPT(B4:B8,A4:A8)</f>
        <v>2.4</v>
      </c>
    </row>
    <row r="10" customFormat="false" ht="15" hidden="false" customHeight="false" outlineLevel="0" collapsed="false">
      <c r="D10" s="4" t="s">
        <v>11</v>
      </c>
      <c r="E10" s="5" t="n">
        <f aca="false">RSQ(B4:B8,A4:A8)</f>
        <v>0.968</v>
      </c>
    </row>
    <row r="12" customFormat="false" ht="15" hidden="false" customHeight="false" outlineLevel="0" collapsed="false">
      <c r="D12" s="6" t="s">
        <v>12</v>
      </c>
      <c r="E12" s="3" t="n">
        <v>7</v>
      </c>
    </row>
    <row r="13" customFormat="false" ht="15" hidden="false" customHeight="false" outlineLevel="0" collapsed="false">
      <c r="D13" s="6" t="s">
        <v>13</v>
      </c>
      <c r="E13" s="5" t="n">
        <f aca="false">E9+E8*E12</f>
        <v>10.1</v>
      </c>
    </row>
    <row r="15" customFormat="false" ht="15" hidden="false" customHeight="false" outlineLevel="0" collapsed="false">
      <c r="D15" s="7" t="s">
        <v>14</v>
      </c>
    </row>
    <row r="16" customFormat="false" ht="15" hidden="false" customHeight="false" outlineLevel="0" collapsed="false">
      <c r="D16" s="7" t="s">
        <v>15</v>
      </c>
    </row>
    <row r="17" customFormat="false" ht="15" hidden="false" customHeight="false" outlineLevel="0" collapsed="false">
      <c r="D17" s="7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2026-08-06T14:17:37Z</dcterms:created>
  <dc:creator>openpyxl</dc:creator>
  <dc:description/>
  <dc:language>en-US</dc:language>
  <cp:lastModifiedBy/>
  <dcterms:modified xsi:type="dcterms:W3CDTF">2026-08-06T14:17:37Z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